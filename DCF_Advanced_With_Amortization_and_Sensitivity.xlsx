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ATA ANALYTIK\Risk Managment\Akademie\Praxe_Excel\"/>
    </mc:Choice>
  </mc:AlternateContent>
  <xr:revisionPtr revIDLastSave="0" documentId="13_ncr:1_{FC9CA16F-F672-474E-9C98-7FB08FB058D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CF_With_Amortization" sheetId="1" r:id="rId1"/>
    <sheet name="Sensitivity_WACC_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D6" i="1"/>
  <c r="D5" i="1"/>
  <c r="D4" i="1"/>
  <c r="D3" i="1"/>
  <c r="B3" i="1"/>
  <c r="E3" i="1" s="1"/>
  <c r="B4" i="1" s="1"/>
  <c r="E2" i="1"/>
  <c r="D2" i="1"/>
  <c r="B2" i="1"/>
  <c r="C2" i="1" s="1"/>
  <c r="E4" i="1" l="1"/>
  <c r="B5" i="1" s="1"/>
  <c r="C4" i="1"/>
  <c r="C3" i="1"/>
  <c r="C5" i="1" l="1"/>
  <c r="E5" i="1"/>
  <c r="B6" i="1" s="1"/>
  <c r="E6" i="1" l="1"/>
  <c r="C6" i="1"/>
</calcChain>
</file>

<file path=xl/sharedStrings.xml><?xml version="1.0" encoding="utf-8"?>
<sst xmlns="http://schemas.openxmlformats.org/spreadsheetml/2006/main" count="12" uniqueCount="12">
  <si>
    <t>Year</t>
  </si>
  <si>
    <t>Interest</t>
  </si>
  <si>
    <t>Inputs</t>
  </si>
  <si>
    <t>Initial Debt</t>
  </si>
  <si>
    <t>Interest Rate</t>
  </si>
  <si>
    <t>Tenor (years)</t>
  </si>
  <si>
    <t>Terminal Value Sensitivity</t>
  </si>
  <si>
    <t>Base FCF</t>
  </si>
  <si>
    <t>WACC \ g</t>
  </si>
  <si>
    <t>Opening 
Debt</t>
  </si>
  <si>
    <t>Principal
 Repayment</t>
  </si>
  <si>
    <t>Closing 
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</si>
</sst>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5" sqref="B5"/>
    </sheetView>
  </sheetViews>
  <sheetFormatPr defaultRowHeight="15" x14ac:dyDescent="0.25"/>
  <sheetData>
    <row r="1" spans="1:8" ht="29.25" customHeight="1" x14ac:dyDescent="0.25">
      <c r="A1" s="3" t="s">
        <v>0</v>
      </c>
      <c r="B1" s="4" t="s">
        <v>9</v>
      </c>
      <c r="C1" s="3" t="s">
        <v>1</v>
      </c>
      <c r="D1" s="4" t="s">
        <v>10</v>
      </c>
      <c r="E1" s="4" t="s">
        <v>11</v>
      </c>
      <c r="G1" s="1" t="s">
        <v>2</v>
      </c>
    </row>
    <row r="2" spans="1:8" x14ac:dyDescent="0.25">
      <c r="A2">
        <v>1</v>
      </c>
      <c r="B2">
        <f>H2</f>
        <v>600000</v>
      </c>
      <c r="C2">
        <f>B2*$H$3</f>
        <v>36000</v>
      </c>
      <c r="D2">
        <f>$H$2/$H$4</f>
        <v>120000</v>
      </c>
      <c r="E2">
        <f>B2-D2</f>
        <v>480000</v>
      </c>
      <c r="G2" t="s">
        <v>3</v>
      </c>
      <c r="H2">
        <v>600000</v>
      </c>
    </row>
    <row r="3" spans="1:8" x14ac:dyDescent="0.25">
      <c r="A3">
        <v>2</v>
      </c>
      <c r="B3">
        <f>E2</f>
        <v>480000</v>
      </c>
      <c r="C3">
        <f>B3*$H$3</f>
        <v>28800</v>
      </c>
      <c r="D3">
        <f>$H$2/$H$4</f>
        <v>120000</v>
      </c>
      <c r="E3">
        <f>B3-D3</f>
        <v>360000</v>
      </c>
      <c r="G3" t="s">
        <v>4</v>
      </c>
      <c r="H3">
        <v>0.06</v>
      </c>
    </row>
    <row r="4" spans="1:8" x14ac:dyDescent="0.25">
      <c r="A4">
        <v>3</v>
      </c>
      <c r="B4">
        <f>E3</f>
        <v>360000</v>
      </c>
      <c r="C4">
        <f>B4*$H$3</f>
        <v>21600</v>
      </c>
      <c r="D4">
        <f>$H$2/$H$4</f>
        <v>120000</v>
      </c>
      <c r="E4">
        <f>B4-D4</f>
        <v>240000</v>
      </c>
      <c r="G4" t="s">
        <v>5</v>
      </c>
      <c r="H4">
        <v>5</v>
      </c>
    </row>
    <row r="5" spans="1:8" x14ac:dyDescent="0.25">
      <c r="A5">
        <v>4</v>
      </c>
      <c r="B5">
        <f>E4</f>
        <v>240000</v>
      </c>
      <c r="C5">
        <f>B5*$H$3</f>
        <v>14400</v>
      </c>
      <c r="D5">
        <f>$H$2/$H$4</f>
        <v>120000</v>
      </c>
      <c r="E5">
        <f>B5-D5</f>
        <v>120000</v>
      </c>
    </row>
    <row r="6" spans="1:8" x14ac:dyDescent="0.25">
      <c r="A6">
        <v>5</v>
      </c>
      <c r="B6">
        <f>E5</f>
        <v>120000</v>
      </c>
      <c r="C6">
        <f>B6*$H$3</f>
        <v>7200</v>
      </c>
      <c r="D6">
        <f>$H$2/$H$4</f>
        <v>120000</v>
      </c>
      <c r="E6">
        <f>B6-D6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F15" sqref="F15"/>
    </sheetView>
  </sheetViews>
  <sheetFormatPr defaultRowHeight="15" x14ac:dyDescent="0.25"/>
  <cols>
    <col min="1" max="1" width="9.140625" customWidth="1"/>
  </cols>
  <sheetData>
    <row r="1" spans="1:8" x14ac:dyDescent="0.25">
      <c r="A1" s="1" t="s">
        <v>6</v>
      </c>
    </row>
    <row r="2" spans="1:8" x14ac:dyDescent="0.25">
      <c r="G2" t="s">
        <v>7</v>
      </c>
      <c r="H2">
        <v>1000000</v>
      </c>
    </row>
    <row r="3" spans="1:8" x14ac:dyDescent="0.25">
      <c r="A3" s="2" t="s">
        <v>8</v>
      </c>
      <c r="B3" s="2">
        <v>0.01</v>
      </c>
      <c r="C3" s="2">
        <v>0.02</v>
      </c>
      <c r="D3" s="2">
        <v>0.03</v>
      </c>
      <c r="E3" s="2">
        <v>0.04</v>
      </c>
    </row>
    <row r="4" spans="1:8" x14ac:dyDescent="0.25">
      <c r="A4">
        <v>7.0000000000000007E-2</v>
      </c>
      <c r="B4">
        <f>$H$2*(1+0.01)/(0.07-0.01)</f>
        <v>16833333.333333332</v>
      </c>
      <c r="C4">
        <f>$H$2*(1+0.02)/(0.07-0.02)</f>
        <v>20400000</v>
      </c>
      <c r="D4">
        <f>$H$2*(1+0.03)/(0.07-0.03)</f>
        <v>25749999.999999996</v>
      </c>
      <c r="E4">
        <f>$H$2*(1+0.04)/(0.07-0.04)</f>
        <v>34666666.666666657</v>
      </c>
    </row>
    <row r="5" spans="1:8" x14ac:dyDescent="0.25">
      <c r="A5">
        <v>0.08</v>
      </c>
      <c r="B5">
        <f>$H$2*(1+0.01)/(0.08-0.01)</f>
        <v>14428571.428571427</v>
      </c>
      <c r="C5">
        <f>$H$2*(1+0.02)/(0.08-0.02)</f>
        <v>17000000</v>
      </c>
      <c r="D5">
        <f>$H$2*(1+0.03)/(0.08-0.03)</f>
        <v>20600000</v>
      </c>
      <c r="E5">
        <f>$H$2*(1+0.04)/(0.08-0.04)</f>
        <v>26000000</v>
      </c>
    </row>
    <row r="6" spans="1:8" x14ac:dyDescent="0.25">
      <c r="A6">
        <v>0.09</v>
      </c>
      <c r="B6">
        <f>$H$2*(1+0.01)/(0.09-0.01)</f>
        <v>12625000</v>
      </c>
      <c r="C6">
        <f>$H$2*(1+0.02)/(0.09-0.02)</f>
        <v>14571428.571428573</v>
      </c>
      <c r="D6">
        <f>$H$2*(1+0.03)/(0.09-0.03)</f>
        <v>17166666.666666668</v>
      </c>
      <c r="E6">
        <f>$H$2*(1+0.04)/(0.09-0.04)</f>
        <v>20800000</v>
      </c>
    </row>
    <row r="7" spans="1:8" x14ac:dyDescent="0.25">
      <c r="A7">
        <v>0.1</v>
      </c>
      <c r="B7">
        <f>$H$2*(1+0.01)/(0.1-0.01)</f>
        <v>11222222.22222222</v>
      </c>
      <c r="C7">
        <f>$H$2*(1+0.02)/(0.1-0.02)</f>
        <v>12750000</v>
      </c>
      <c r="D7">
        <f>$H$2*(1+0.03)/(0.1-0.03)</f>
        <v>14714285.714285713</v>
      </c>
      <c r="E7">
        <f>$H$2*(1+0.04)/(0.1-0.04)</f>
        <v>17333333.333333332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DCF_With_Amortization</vt:lpstr>
      <vt:lpstr>Sensitivity_WACC_G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♕ Андрей ☝</cp:lastModifiedBy>
  <dcterms:created xsi:type="dcterms:W3CDTF">2026-03-06T09:10:09Z</dcterms:created>
  <dcterms:modified xsi:type="dcterms:W3CDTF">2026-03-30T09:05:29Z</dcterms:modified>
</cp:coreProperties>
</file>